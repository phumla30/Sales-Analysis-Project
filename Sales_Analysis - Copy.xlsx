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JN1PEPF00002798\EXCELCNV\bc64e48e-2603-4849-a5f0-079cace99130\"/>
    </mc:Choice>
  </mc:AlternateContent>
  <xr:revisionPtr revIDLastSave="219" documentId="8_{4B8CB035-B840-4F14-8BCB-9FEFCABB726A}" xr6:coauthVersionLast="47" xr6:coauthVersionMax="47" xr10:uidLastSave="{4D1EB8A3-F6F0-4185-ABBD-9BC75881E1F7}"/>
  <bookViews>
    <workbookView xWindow="-60" yWindow="-60" windowWidth="15480" windowHeight="11640" activeTab="1" xr2:uid="{5DA64BB3-2A25-4C1A-8143-B3EA56C46C1D}"/>
  </bookViews>
  <sheets>
    <sheet name="in" sheetId="1" r:id="rId1"/>
    <sheet name="Analysis" sheetId="2" r:id="rId2"/>
  </sheets>
  <externalReferences>
    <externalReference r:id="rId3"/>
    <externalReference r:id="rId4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2" l="1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2" i="2"/>
  <c r="P32" i="2" s="1"/>
  <c r="K3" i="2"/>
  <c r="K4" i="2"/>
  <c r="K5" i="2"/>
  <c r="K6" i="2"/>
  <c r="K7" i="2"/>
  <c r="K2" i="2"/>
  <c r="J3" i="1"/>
  <c r="J4" i="1"/>
  <c r="J5" i="1"/>
  <c r="J6" i="1"/>
  <c r="J7" i="1"/>
  <c r="H3" i="2"/>
  <c r="H4" i="2"/>
  <c r="H2" i="2"/>
  <c r="E3" i="2"/>
  <c r="E4" i="2"/>
  <c r="E2" i="2"/>
  <c r="B5" i="2"/>
  <c r="B4" i="2"/>
  <c r="B3" i="2"/>
  <c r="B2" i="2"/>
  <c r="B1" i="2"/>
</calcChain>
</file>

<file path=xl/sharedStrings.xml><?xml version="1.0" encoding="utf-8"?>
<sst xmlns="http://schemas.openxmlformats.org/spreadsheetml/2006/main" count="153" uniqueCount="60">
  <si>
    <t>OrderDate</t>
  </si>
  <si>
    <t>OrderID</t>
  </si>
  <si>
    <t>Product</t>
  </si>
  <si>
    <t>Category</t>
  </si>
  <si>
    <t>City</t>
  </si>
  <si>
    <t>Quantity</t>
  </si>
  <si>
    <t>UnitPrice</t>
  </si>
  <si>
    <t>Sales</t>
  </si>
  <si>
    <t>ORD1001</t>
  </si>
  <si>
    <t>Notebook</t>
  </si>
  <si>
    <t>Stationery</t>
  </si>
  <si>
    <t>Johannesburg</t>
  </si>
  <si>
    <t>ORD1002</t>
  </si>
  <si>
    <t>Pen Pack</t>
  </si>
  <si>
    <t>Pretoria</t>
  </si>
  <si>
    <t>ORD1003</t>
  </si>
  <si>
    <t>Desk Lamp</t>
  </si>
  <si>
    <t>Electronics</t>
  </si>
  <si>
    <t>ORD1004</t>
  </si>
  <si>
    <t>Water Bottle</t>
  </si>
  <si>
    <t>Accessories</t>
  </si>
  <si>
    <t>Soweto</t>
  </si>
  <si>
    <t>ORD1005</t>
  </si>
  <si>
    <t>Backpack</t>
  </si>
  <si>
    <t>ORD1006</t>
  </si>
  <si>
    <t>ORD1007</t>
  </si>
  <si>
    <t>Headphones</t>
  </si>
  <si>
    <t>ORD1008</t>
  </si>
  <si>
    <t>ORD1009</t>
  </si>
  <si>
    <t>ORD1010</t>
  </si>
  <si>
    <t>ORD1011</t>
  </si>
  <si>
    <t>ORD1012</t>
  </si>
  <si>
    <t>ORD1013</t>
  </si>
  <si>
    <t>ORD1014</t>
  </si>
  <si>
    <t>ORD1015</t>
  </si>
  <si>
    <t>ORD1016</t>
  </si>
  <si>
    <t>ORD1017</t>
  </si>
  <si>
    <t>ORD1018</t>
  </si>
  <si>
    <t>ORD1019</t>
  </si>
  <si>
    <t>ORD1020</t>
  </si>
  <si>
    <t>ORD1021</t>
  </si>
  <si>
    <t>ORD1022</t>
  </si>
  <si>
    <t>ORD1023</t>
  </si>
  <si>
    <t>ORD1024</t>
  </si>
  <si>
    <t>ORD1025</t>
  </si>
  <si>
    <t>ORD1026</t>
  </si>
  <si>
    <t>ORD1027</t>
  </si>
  <si>
    <t>ORD1028</t>
  </si>
  <si>
    <t>ORD1029</t>
  </si>
  <si>
    <t>ORD1030</t>
  </si>
  <si>
    <t>Total Sales</t>
  </si>
  <si>
    <t>Sales By City</t>
  </si>
  <si>
    <t>Sales By Category</t>
  </si>
  <si>
    <t>Total sales</t>
  </si>
  <si>
    <t>Sales By Product</t>
  </si>
  <si>
    <t>Order Date</t>
  </si>
  <si>
    <t>Average Sales</t>
  </si>
  <si>
    <t>Highest Sale</t>
  </si>
  <si>
    <t>Lowest sale</t>
  </si>
  <si>
    <t>Total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</si>
</sst>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scheme val="minor"/>
    </font>
    <font>
      <b/>
      <sz val="11"/>
      <color rgb="FF000000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0" fontId="16" fillId="0" borderId="0" xfId="0" applyFont="1"/>
    <xf numFmtId="0" fontId="19" fillId="33" borderId="0" xfId="0" applyFont="1" applyFill="1"/>
    <xf numFmtId="0" fontId="16" fillId="33" borderId="0" xfId="0" applyFont="1" applyFill="1"/>
    <xf numFmtId="0" fontId="16" fillId="34" borderId="0" xfId="0" applyFont="1" applyFill="1"/>
    <xf numFmtId="0" fontId="16" fillId="35" borderId="0" xfId="0" applyFont="1" applyFill="1"/>
    <xf numFmtId="0" fontId="16" fillId="36" borderId="0" xfId="0" applyFont="1" applyFill="1"/>
    <xf numFmtId="0" fontId="16" fillId="37" borderId="0" xfId="0" applyFont="1" applyFill="1"/>
    <xf numFmtId="0" fontId="18" fillId="38" borderId="0" xfId="0" applyFont="1" applyFill="1"/>
    <xf numFmtId="0" fontId="16" fillId="39" borderId="0" xfId="0" applyFont="1" applyFill="1"/>
    <xf numFmtId="0" fontId="16" fillId="40" borderId="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Analysis!$D$2:$D$4</c:f>
              <c:strCache>
                <c:ptCount val="3"/>
                <c:pt idx="0">
                  <c:v>Johannesburg</c:v>
                </c:pt>
                <c:pt idx="1">
                  <c:v>Pretoria</c:v>
                </c:pt>
                <c:pt idx="2">
                  <c:v>Soweto</c:v>
                </c:pt>
              </c:strCache>
            </c:strRef>
          </c:cat>
          <c:val>
            <c:numRef>
              <c:f>Analysis!$E$2:$E$4</c:f>
              <c:numCache>
                <c:formatCode>General</c:formatCode>
                <c:ptCount val="3"/>
                <c:pt idx="0">
                  <c:v>5460</c:v>
                </c:pt>
                <c:pt idx="1">
                  <c:v>2695</c:v>
                </c:pt>
                <c:pt idx="2">
                  <c:v>2605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19-4F19-8CF9-0FE5396A17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5742984"/>
        <c:axId val="855949832"/>
      </c:barChart>
      <c:catAx>
        <c:axId val="855742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5949832"/>
        <c:crosses val="autoZero"/>
        <c:auto val="1"/>
        <c:lblAlgn val="ctr"/>
        <c:lblOffset val="100"/>
        <c:noMultiLvlLbl val="0"/>
      </c:catAx>
      <c:valAx>
        <c:axId val="855949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5742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Analysis!$G$2:$G$4</c:f>
              <c:strCache>
                <c:ptCount val="3"/>
                <c:pt idx="0">
                  <c:v>Stationery</c:v>
                </c:pt>
                <c:pt idx="1">
                  <c:v>Electronics</c:v>
                </c:pt>
                <c:pt idx="2">
                  <c:v>Accessories</c:v>
                </c:pt>
              </c:strCache>
            </c:strRef>
          </c:cat>
          <c:val>
            <c:numRef>
              <c:f>Analysis!$H$2:$H$4</c:f>
              <c:numCache>
                <c:formatCode>General</c:formatCode>
                <c:ptCount val="3"/>
                <c:pt idx="0">
                  <c:v>1600</c:v>
                </c:pt>
                <c:pt idx="1">
                  <c:v>5220</c:v>
                </c:pt>
                <c:pt idx="2">
                  <c:v>3940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57-4117-A72B-F24559B471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2120584"/>
        <c:axId val="1092122632"/>
      </c:barChart>
      <c:catAx>
        <c:axId val="1092120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122632"/>
        <c:crosses val="autoZero"/>
        <c:auto val="1"/>
        <c:lblAlgn val="ctr"/>
        <c:lblOffset val="100"/>
        <c:noMultiLvlLbl val="0"/>
      </c:catAx>
      <c:valAx>
        <c:axId val="1092122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120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Analysis!$J$2:$J$7</c:f>
              <c:strCache>
                <c:ptCount val="6"/>
                <c:pt idx="0">
                  <c:v>Notebook</c:v>
                </c:pt>
                <c:pt idx="1">
                  <c:v>Pen Pack</c:v>
                </c:pt>
                <c:pt idx="2">
                  <c:v>Desk Lamp</c:v>
                </c:pt>
                <c:pt idx="3">
                  <c:v>Water Bottle</c:v>
                </c:pt>
                <c:pt idx="4">
                  <c:v>Headphones</c:v>
                </c:pt>
                <c:pt idx="5">
                  <c:v>Backpack</c:v>
                </c:pt>
              </c:strCache>
            </c:strRef>
          </c:cat>
          <c:val>
            <c:numRef>
              <c:f>Analysis!$K$2:$K$7</c:f>
              <c:numCache>
                <c:formatCode>General</c:formatCode>
                <c:ptCount val="6"/>
                <c:pt idx="0">
                  <c:v>1000</c:v>
                </c:pt>
                <c:pt idx="1">
                  <c:v>600</c:v>
                </c:pt>
                <c:pt idx="2">
                  <c:v>1620</c:v>
                </c:pt>
                <c:pt idx="3">
                  <c:v>1700</c:v>
                </c:pt>
                <c:pt idx="4">
                  <c:v>3600</c:v>
                </c:pt>
                <c:pt idx="5">
                  <c:v>2240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62-4BC4-97DF-376036AA47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1110280"/>
        <c:axId val="1141112328"/>
      </c:barChart>
      <c:catAx>
        <c:axId val="1141110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1112328"/>
        <c:crosses val="autoZero"/>
        <c:auto val="1"/>
        <c:lblAlgn val="ctr"/>
        <c:lblOffset val="100"/>
        <c:noMultiLvlLbl val="0"/>
      </c:catAx>
      <c:valAx>
        <c:axId val="1141112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1110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Trends overtime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Analysis!$O$2:$O$31</c:f>
              <c:numCache>
                <c:formatCode>m/d/yyyy</c:formatCode>
                <c:ptCount val="30"/>
                <c:pt idx="0">
                  <c:v>46025</c:v>
                </c:pt>
                <c:pt idx="1">
                  <c:v>46026</c:v>
                </c:pt>
                <c:pt idx="2">
                  <c:v>46027</c:v>
                </c:pt>
                <c:pt idx="3">
                  <c:v>46028</c:v>
                </c:pt>
                <c:pt idx="4">
                  <c:v>46029</c:v>
                </c:pt>
                <c:pt idx="5">
                  <c:v>46030</c:v>
                </c:pt>
                <c:pt idx="6">
                  <c:v>46032</c:v>
                </c:pt>
                <c:pt idx="7">
                  <c:v>46033</c:v>
                </c:pt>
                <c:pt idx="8">
                  <c:v>46034</c:v>
                </c:pt>
                <c:pt idx="9">
                  <c:v>46036</c:v>
                </c:pt>
                <c:pt idx="10">
                  <c:v>46037</c:v>
                </c:pt>
                <c:pt idx="11">
                  <c:v>46038</c:v>
                </c:pt>
                <c:pt idx="12">
                  <c:v>46040</c:v>
                </c:pt>
                <c:pt idx="13">
                  <c:v>46041</c:v>
                </c:pt>
                <c:pt idx="14">
                  <c:v>46042</c:v>
                </c:pt>
                <c:pt idx="15">
                  <c:v>46044</c:v>
                </c:pt>
                <c:pt idx="16">
                  <c:v>46045</c:v>
                </c:pt>
                <c:pt idx="17">
                  <c:v>46046</c:v>
                </c:pt>
                <c:pt idx="18">
                  <c:v>46047</c:v>
                </c:pt>
                <c:pt idx="19">
                  <c:v>46049</c:v>
                </c:pt>
                <c:pt idx="20">
                  <c:v>46054</c:v>
                </c:pt>
                <c:pt idx="21">
                  <c:v>46056</c:v>
                </c:pt>
                <c:pt idx="22">
                  <c:v>46057</c:v>
                </c:pt>
                <c:pt idx="23">
                  <c:v>46059</c:v>
                </c:pt>
                <c:pt idx="24">
                  <c:v>46061</c:v>
                </c:pt>
                <c:pt idx="25">
                  <c:v>46063</c:v>
                </c:pt>
                <c:pt idx="26">
                  <c:v>46065</c:v>
                </c:pt>
                <c:pt idx="27">
                  <c:v>46067</c:v>
                </c:pt>
                <c:pt idx="28">
                  <c:v>46069</c:v>
                </c:pt>
                <c:pt idx="29">
                  <c:v>46071</c:v>
                </c:pt>
              </c:numCache>
            </c:numRef>
          </c:cat>
          <c:val>
            <c:numRef>
              <c:f>Analysis!$P$2:$P$31</c:f>
              <c:numCache>
                <c:formatCode>General</c:formatCode>
                <c:ptCount val="30"/>
                <c:pt idx="0">
                  <c:v>125</c:v>
                </c:pt>
                <c:pt idx="1">
                  <c:v>120</c:v>
                </c:pt>
                <c:pt idx="2">
                  <c:v>360</c:v>
                </c:pt>
                <c:pt idx="3">
                  <c:v>255</c:v>
                </c:pt>
                <c:pt idx="4">
                  <c:v>320</c:v>
                </c:pt>
                <c:pt idx="5">
                  <c:v>250</c:v>
                </c:pt>
                <c:pt idx="6">
                  <c:v>900</c:v>
                </c:pt>
                <c:pt idx="7">
                  <c:v>90</c:v>
                </c:pt>
                <c:pt idx="8">
                  <c:v>340</c:v>
                </c:pt>
                <c:pt idx="9">
                  <c:v>180</c:v>
                </c:pt>
                <c:pt idx="10">
                  <c:v>640</c:v>
                </c:pt>
                <c:pt idx="11">
                  <c:v>175</c:v>
                </c:pt>
                <c:pt idx="12">
                  <c:v>450</c:v>
                </c:pt>
                <c:pt idx="13">
                  <c:v>425</c:v>
                </c:pt>
                <c:pt idx="14">
                  <c:v>135</c:v>
                </c:pt>
                <c:pt idx="15">
                  <c:v>540</c:v>
                </c:pt>
                <c:pt idx="16">
                  <c:v>320</c:v>
                </c:pt>
                <c:pt idx="17">
                  <c:v>100</c:v>
                </c:pt>
                <c:pt idx="18">
                  <c:v>900</c:v>
                </c:pt>
                <c:pt idx="19">
                  <c:v>180</c:v>
                </c:pt>
                <c:pt idx="20">
                  <c:v>170</c:v>
                </c:pt>
                <c:pt idx="21">
                  <c:v>360</c:v>
                </c:pt>
                <c:pt idx="22">
                  <c:v>200</c:v>
                </c:pt>
                <c:pt idx="23">
                  <c:v>320</c:v>
                </c:pt>
                <c:pt idx="24">
                  <c:v>1350</c:v>
                </c:pt>
                <c:pt idx="25">
                  <c:v>75</c:v>
                </c:pt>
                <c:pt idx="26">
                  <c:v>510</c:v>
                </c:pt>
                <c:pt idx="27">
                  <c:v>180</c:v>
                </c:pt>
                <c:pt idx="28">
                  <c:v>150</c:v>
                </c:pt>
                <c:pt idx="29">
                  <c:v>640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05-4096-BFA9-B0ADB3FA16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6355976"/>
        <c:axId val="1097019400"/>
      </c:lineChart>
      <c:dateAx>
        <c:axId val="120635597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7019400"/>
        <c:crosses val="autoZero"/>
        <c:auto val="1"/>
        <c:lblOffset val="100"/>
        <c:baseTimeUnit val="days"/>
      </c:dateAx>
      <c:valAx>
        <c:axId val="1097019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6355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6</xdr:row>
      <xdr:rowOff>161925</xdr:rowOff>
    </xdr:from>
    <xdr:to>
      <xdr:col>6</xdr:col>
      <xdr:colOff>361950</xdr:colOff>
      <xdr:row>21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D9C942-1E2B-5754-C5ED-E9B846CFFA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57150</xdr:colOff>
      <xdr:row>23</xdr:row>
      <xdr:rowOff>38100</xdr:rowOff>
    </xdr:from>
    <xdr:to>
      <xdr:col>6</xdr:col>
      <xdr:colOff>304800</xdr:colOff>
      <xdr:row>37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FFE5D5F-3E96-8536-F9EA-0D00A02C3FCA}"/>
            </a:ext>
            <a:ext uri="{147F2762-F138-4A5C-976F-8EAC2B608ADB}">
              <a16:predDERef xmlns:a16="http://schemas.microsoft.com/office/drawing/2014/main" pred="{9DD9C942-1E2B-5754-C5ED-E9B846CFFA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8</xdr:row>
      <xdr:rowOff>123825</xdr:rowOff>
    </xdr:from>
    <xdr:to>
      <xdr:col>13</xdr:col>
      <xdr:colOff>9525</xdr:colOff>
      <xdr:row>24</xdr:row>
      <xdr:rowOff>123825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ADF34F5-BF63-199F-04D9-BBC5B837CB87}"/>
            </a:ext>
            <a:ext uri="{147F2762-F138-4A5C-976F-8EAC2B608ADB}">
              <a16:predDERef xmlns:a16="http://schemas.microsoft.com/office/drawing/2014/main" pred="{6FFE5D5F-3E96-8536-F9EA-0D00A02C3F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962025</xdr:colOff>
      <xdr:row>26</xdr:row>
      <xdr:rowOff>47625</xdr:rowOff>
    </xdr:from>
    <xdr:to>
      <xdr:col>12</xdr:col>
      <xdr:colOff>609600</xdr:colOff>
      <xdr:row>40</xdr:row>
      <xdr:rowOff>123825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55A2795-434C-956F-9D32-05FC8CDA0CC4}"/>
            </a:ext>
            <a:ext uri="{147F2762-F138-4A5C-976F-8EAC2B608ADB}">
              <a16:predDERef xmlns:a16="http://schemas.microsoft.com/office/drawing/2014/main" pred="{0ADF34F5-BF63-199F-04D9-BBC5B837CB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VERAGEin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alesin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VERAGEin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in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EF614-F45B-429B-84CB-5BFBE70EBF07}">
  <dimension ref="A1:J31"/>
  <sheetViews>
    <sheetView workbookViewId="0">
      <selection activeCell="K9" sqref="K9"/>
    </sheetView>
  </sheetViews>
  <sheetFormatPr defaultRowHeight="15"/>
  <cols>
    <col min="1" max="1" width="10.42578125" bestFit="1" customWidth="1"/>
    <col min="2" max="2" width="9.42578125" bestFit="1" customWidth="1"/>
    <col min="3" max="3" width="12.42578125" bestFit="1" customWidth="1"/>
    <col min="4" max="4" width="11.140625" bestFit="1" customWidth="1"/>
    <col min="5" max="5" width="13.42578125" bestFit="1" customWidth="1"/>
    <col min="6" max="6" width="8.710937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0">
      <c r="A2" s="1">
        <v>46025</v>
      </c>
      <c r="B2" t="s">
        <v>8</v>
      </c>
      <c r="C2" t="s">
        <v>9</v>
      </c>
      <c r="D2" t="s">
        <v>10</v>
      </c>
      <c r="E2" t="s">
        <v>11</v>
      </c>
      <c r="F2">
        <v>5</v>
      </c>
      <c r="G2">
        <v>25</v>
      </c>
      <c r="H2">
        <v>125</v>
      </c>
    </row>
    <row r="3" spans="1:10">
      <c r="A3" s="1">
        <v>46026</v>
      </c>
      <c r="B3" t="s">
        <v>12</v>
      </c>
      <c r="C3" t="s">
        <v>13</v>
      </c>
      <c r="D3" t="s">
        <v>10</v>
      </c>
      <c r="E3" t="s">
        <v>14</v>
      </c>
      <c r="F3">
        <v>8</v>
      </c>
      <c r="G3">
        <v>15</v>
      </c>
      <c r="H3">
        <v>120</v>
      </c>
      <c r="J3">
        <f>SUM(H2,H7,H13,H19,H24,H30)</f>
        <v>1000</v>
      </c>
    </row>
    <row r="4" spans="1:10">
      <c r="A4" s="1">
        <v>46027</v>
      </c>
      <c r="B4" t="s">
        <v>15</v>
      </c>
      <c r="C4" t="s">
        <v>16</v>
      </c>
      <c r="D4" t="s">
        <v>17</v>
      </c>
      <c r="E4" t="s">
        <v>11</v>
      </c>
      <c r="F4">
        <v>2</v>
      </c>
      <c r="G4">
        <v>180</v>
      </c>
      <c r="H4">
        <v>360</v>
      </c>
      <c r="J4">
        <f>SUM(H3,H9,H16,H21,H27)</f>
        <v>600</v>
      </c>
    </row>
    <row r="5" spans="1:10">
      <c r="A5" s="1">
        <v>46028</v>
      </c>
      <c r="B5" t="s">
        <v>18</v>
      </c>
      <c r="C5" t="s">
        <v>19</v>
      </c>
      <c r="D5" t="s">
        <v>20</v>
      </c>
      <c r="E5" t="s">
        <v>21</v>
      </c>
      <c r="F5">
        <v>3</v>
      </c>
      <c r="G5">
        <v>85</v>
      </c>
      <c r="H5">
        <v>255</v>
      </c>
      <c r="J5">
        <f>SUM(H4,H11,H17,H23,H29)</f>
        <v>1620</v>
      </c>
    </row>
    <row r="6" spans="1:10">
      <c r="A6" s="1">
        <v>46029</v>
      </c>
      <c r="B6" t="s">
        <v>22</v>
      </c>
      <c r="C6" t="s">
        <v>23</v>
      </c>
      <c r="D6" t="s">
        <v>20</v>
      </c>
      <c r="E6" t="s">
        <v>14</v>
      </c>
      <c r="F6">
        <v>1</v>
      </c>
      <c r="G6">
        <v>320</v>
      </c>
      <c r="H6">
        <v>320</v>
      </c>
      <c r="J6">
        <f>SUM(H5,H10,H15,H22,H28)</f>
        <v>1700</v>
      </c>
    </row>
    <row r="7" spans="1:10">
      <c r="A7" s="1">
        <v>46030</v>
      </c>
      <c r="B7" t="s">
        <v>24</v>
      </c>
      <c r="C7" t="s">
        <v>9</v>
      </c>
      <c r="D7" t="s">
        <v>10</v>
      </c>
      <c r="E7" t="s">
        <v>21</v>
      </c>
      <c r="F7">
        <v>10</v>
      </c>
      <c r="G7">
        <v>25</v>
      </c>
      <c r="H7">
        <v>250</v>
      </c>
      <c r="J7">
        <f>SUM(H6,H12,H18,H25,H31)</f>
        <v>2240</v>
      </c>
    </row>
    <row r="8" spans="1:10">
      <c r="A8" s="1">
        <v>46032</v>
      </c>
      <c r="B8" t="s">
        <v>25</v>
      </c>
      <c r="C8" t="s">
        <v>26</v>
      </c>
      <c r="D8" t="s">
        <v>17</v>
      </c>
      <c r="E8" t="s">
        <v>11</v>
      </c>
      <c r="F8">
        <v>2</v>
      </c>
      <c r="G8">
        <v>450</v>
      </c>
      <c r="H8">
        <v>900</v>
      </c>
    </row>
    <row r="9" spans="1:10">
      <c r="A9" s="1">
        <v>46033</v>
      </c>
      <c r="B9" t="s">
        <v>27</v>
      </c>
      <c r="C9" t="s">
        <v>13</v>
      </c>
      <c r="D9" t="s">
        <v>10</v>
      </c>
      <c r="E9" t="s">
        <v>14</v>
      </c>
      <c r="F9">
        <v>6</v>
      </c>
      <c r="G9">
        <v>15</v>
      </c>
      <c r="H9">
        <v>90</v>
      </c>
    </row>
    <row r="10" spans="1:10">
      <c r="A10" s="1">
        <v>46034</v>
      </c>
      <c r="B10" t="s">
        <v>28</v>
      </c>
      <c r="C10" t="s">
        <v>19</v>
      </c>
      <c r="D10" t="s">
        <v>20</v>
      </c>
      <c r="E10" t="s">
        <v>11</v>
      </c>
      <c r="F10">
        <v>4</v>
      </c>
      <c r="G10">
        <v>85</v>
      </c>
      <c r="H10">
        <v>340</v>
      </c>
    </row>
    <row r="11" spans="1:10">
      <c r="A11" s="1">
        <v>46036</v>
      </c>
      <c r="B11" t="s">
        <v>29</v>
      </c>
      <c r="C11" t="s">
        <v>16</v>
      </c>
      <c r="D11" t="s">
        <v>17</v>
      </c>
      <c r="E11" t="s">
        <v>21</v>
      </c>
      <c r="F11">
        <v>1</v>
      </c>
      <c r="G11">
        <v>180</v>
      </c>
      <c r="H11">
        <v>180</v>
      </c>
    </row>
    <row r="12" spans="1:10">
      <c r="A12" s="1">
        <v>46037</v>
      </c>
      <c r="B12" t="s">
        <v>30</v>
      </c>
      <c r="C12" t="s">
        <v>23</v>
      </c>
      <c r="D12" t="s">
        <v>20</v>
      </c>
      <c r="E12" t="s">
        <v>11</v>
      </c>
      <c r="F12">
        <v>2</v>
      </c>
      <c r="G12">
        <v>320</v>
      </c>
      <c r="H12">
        <v>640</v>
      </c>
    </row>
    <row r="13" spans="1:10">
      <c r="A13" s="1">
        <v>46038</v>
      </c>
      <c r="B13" t="s">
        <v>31</v>
      </c>
      <c r="C13" t="s">
        <v>9</v>
      </c>
      <c r="D13" t="s">
        <v>10</v>
      </c>
      <c r="E13" t="s">
        <v>14</v>
      </c>
      <c r="F13">
        <v>7</v>
      </c>
      <c r="G13">
        <v>25</v>
      </c>
      <c r="H13">
        <v>175</v>
      </c>
    </row>
    <row r="14" spans="1:10">
      <c r="A14" s="1">
        <v>46040</v>
      </c>
      <c r="B14" t="s">
        <v>32</v>
      </c>
      <c r="C14" t="s">
        <v>26</v>
      </c>
      <c r="D14" t="s">
        <v>17</v>
      </c>
      <c r="E14" t="s">
        <v>14</v>
      </c>
      <c r="F14">
        <v>1</v>
      </c>
      <c r="G14">
        <v>450</v>
      </c>
      <c r="H14">
        <v>450</v>
      </c>
    </row>
    <row r="15" spans="1:10">
      <c r="A15" s="1">
        <v>46041</v>
      </c>
      <c r="B15" t="s">
        <v>33</v>
      </c>
      <c r="C15" t="s">
        <v>19</v>
      </c>
      <c r="D15" t="s">
        <v>20</v>
      </c>
      <c r="E15" t="s">
        <v>21</v>
      </c>
      <c r="F15">
        <v>5</v>
      </c>
      <c r="G15">
        <v>85</v>
      </c>
      <c r="H15">
        <v>425</v>
      </c>
    </row>
    <row r="16" spans="1:10">
      <c r="A16" s="1">
        <v>46042</v>
      </c>
      <c r="B16" t="s">
        <v>34</v>
      </c>
      <c r="C16" t="s">
        <v>13</v>
      </c>
      <c r="D16" t="s">
        <v>10</v>
      </c>
      <c r="E16" t="s">
        <v>11</v>
      </c>
      <c r="F16">
        <v>9</v>
      </c>
      <c r="G16">
        <v>15</v>
      </c>
      <c r="H16">
        <v>135</v>
      </c>
    </row>
    <row r="17" spans="1:8">
      <c r="A17" s="1">
        <v>46044</v>
      </c>
      <c r="B17" t="s">
        <v>35</v>
      </c>
      <c r="C17" t="s">
        <v>16</v>
      </c>
      <c r="D17" t="s">
        <v>17</v>
      </c>
      <c r="E17" t="s">
        <v>14</v>
      </c>
      <c r="F17">
        <v>3</v>
      </c>
      <c r="G17">
        <v>180</v>
      </c>
      <c r="H17">
        <v>540</v>
      </c>
    </row>
    <row r="18" spans="1:8">
      <c r="A18" s="1">
        <v>46045</v>
      </c>
      <c r="B18" t="s">
        <v>36</v>
      </c>
      <c r="C18" t="s">
        <v>23</v>
      </c>
      <c r="D18" t="s">
        <v>20</v>
      </c>
      <c r="E18" t="s">
        <v>21</v>
      </c>
      <c r="F18">
        <v>1</v>
      </c>
      <c r="G18">
        <v>320</v>
      </c>
      <c r="H18">
        <v>320</v>
      </c>
    </row>
    <row r="19" spans="1:8">
      <c r="A19" s="1">
        <v>46046</v>
      </c>
      <c r="B19" t="s">
        <v>37</v>
      </c>
      <c r="C19" t="s">
        <v>9</v>
      </c>
      <c r="D19" t="s">
        <v>10</v>
      </c>
      <c r="E19" t="s">
        <v>11</v>
      </c>
      <c r="F19">
        <v>4</v>
      </c>
      <c r="G19">
        <v>25</v>
      </c>
      <c r="H19">
        <v>100</v>
      </c>
    </row>
    <row r="20" spans="1:8">
      <c r="A20" s="1">
        <v>46047</v>
      </c>
      <c r="B20" t="s">
        <v>38</v>
      </c>
      <c r="C20" t="s">
        <v>26</v>
      </c>
      <c r="D20" t="s">
        <v>17</v>
      </c>
      <c r="E20" t="s">
        <v>21</v>
      </c>
      <c r="F20">
        <v>2</v>
      </c>
      <c r="G20">
        <v>450</v>
      </c>
      <c r="H20">
        <v>900</v>
      </c>
    </row>
    <row r="21" spans="1:8">
      <c r="A21" s="1">
        <v>46049</v>
      </c>
      <c r="B21" t="s">
        <v>39</v>
      </c>
      <c r="C21" t="s">
        <v>13</v>
      </c>
      <c r="D21" t="s">
        <v>10</v>
      </c>
      <c r="E21" t="s">
        <v>14</v>
      </c>
      <c r="F21">
        <v>12</v>
      </c>
      <c r="G21">
        <v>15</v>
      </c>
      <c r="H21">
        <v>180</v>
      </c>
    </row>
    <row r="22" spans="1:8">
      <c r="A22" s="1">
        <v>46054</v>
      </c>
      <c r="B22" t="s">
        <v>40</v>
      </c>
      <c r="C22" t="s">
        <v>19</v>
      </c>
      <c r="D22" t="s">
        <v>20</v>
      </c>
      <c r="E22" t="s">
        <v>14</v>
      </c>
      <c r="F22">
        <v>2</v>
      </c>
      <c r="G22">
        <v>85</v>
      </c>
      <c r="H22">
        <v>170</v>
      </c>
    </row>
    <row r="23" spans="1:8">
      <c r="A23" s="1">
        <v>46056</v>
      </c>
      <c r="B23" t="s">
        <v>41</v>
      </c>
      <c r="C23" t="s">
        <v>16</v>
      </c>
      <c r="D23" t="s">
        <v>17</v>
      </c>
      <c r="E23" t="s">
        <v>11</v>
      </c>
      <c r="F23">
        <v>2</v>
      </c>
      <c r="G23">
        <v>180</v>
      </c>
      <c r="H23">
        <v>360</v>
      </c>
    </row>
    <row r="24" spans="1:8">
      <c r="A24" s="1">
        <v>46057</v>
      </c>
      <c r="B24" t="s">
        <v>42</v>
      </c>
      <c r="C24" t="s">
        <v>9</v>
      </c>
      <c r="D24" t="s">
        <v>10</v>
      </c>
      <c r="E24" t="s">
        <v>21</v>
      </c>
      <c r="F24">
        <v>8</v>
      </c>
      <c r="G24">
        <v>25</v>
      </c>
      <c r="H24">
        <v>200</v>
      </c>
    </row>
    <row r="25" spans="1:8">
      <c r="A25" s="1">
        <v>46059</v>
      </c>
      <c r="B25" t="s">
        <v>43</v>
      </c>
      <c r="C25" t="s">
        <v>23</v>
      </c>
      <c r="D25" t="s">
        <v>20</v>
      </c>
      <c r="E25" t="s">
        <v>14</v>
      </c>
      <c r="F25">
        <v>1</v>
      </c>
      <c r="G25">
        <v>320</v>
      </c>
      <c r="H25">
        <v>320</v>
      </c>
    </row>
    <row r="26" spans="1:8">
      <c r="A26" s="1">
        <v>46061</v>
      </c>
      <c r="B26" t="s">
        <v>44</v>
      </c>
      <c r="C26" t="s">
        <v>26</v>
      </c>
      <c r="D26" t="s">
        <v>17</v>
      </c>
      <c r="E26" t="s">
        <v>11</v>
      </c>
      <c r="F26">
        <v>3</v>
      </c>
      <c r="G26">
        <v>450</v>
      </c>
      <c r="H26">
        <v>1350</v>
      </c>
    </row>
    <row r="27" spans="1:8">
      <c r="A27" s="1">
        <v>46063</v>
      </c>
      <c r="B27" t="s">
        <v>45</v>
      </c>
      <c r="C27" t="s">
        <v>13</v>
      </c>
      <c r="D27" t="s">
        <v>10</v>
      </c>
      <c r="E27" t="s">
        <v>21</v>
      </c>
      <c r="F27">
        <v>5</v>
      </c>
      <c r="G27">
        <v>15</v>
      </c>
      <c r="H27">
        <v>75</v>
      </c>
    </row>
    <row r="28" spans="1:8">
      <c r="A28" s="1">
        <v>46065</v>
      </c>
      <c r="B28" t="s">
        <v>46</v>
      </c>
      <c r="C28" t="s">
        <v>19</v>
      </c>
      <c r="D28" t="s">
        <v>20</v>
      </c>
      <c r="E28" t="s">
        <v>11</v>
      </c>
      <c r="F28">
        <v>6</v>
      </c>
      <c r="G28">
        <v>85</v>
      </c>
      <c r="H28">
        <v>510</v>
      </c>
    </row>
    <row r="29" spans="1:8">
      <c r="A29" s="1">
        <v>46067</v>
      </c>
      <c r="B29" t="s">
        <v>47</v>
      </c>
      <c r="C29" t="s">
        <v>16</v>
      </c>
      <c r="D29" t="s">
        <v>17</v>
      </c>
      <c r="E29" t="s">
        <v>14</v>
      </c>
      <c r="F29">
        <v>1</v>
      </c>
      <c r="G29">
        <v>180</v>
      </c>
      <c r="H29">
        <v>180</v>
      </c>
    </row>
    <row r="30" spans="1:8">
      <c r="A30" s="1">
        <v>46069</v>
      </c>
      <c r="B30" t="s">
        <v>48</v>
      </c>
      <c r="C30" t="s">
        <v>9</v>
      </c>
      <c r="D30" t="s">
        <v>10</v>
      </c>
      <c r="E30" t="s">
        <v>14</v>
      </c>
      <c r="F30">
        <v>6</v>
      </c>
      <c r="G30">
        <v>25</v>
      </c>
      <c r="H30">
        <v>150</v>
      </c>
    </row>
    <row r="31" spans="1:8">
      <c r="A31" s="1">
        <v>46071</v>
      </c>
      <c r="B31" t="s">
        <v>49</v>
      </c>
      <c r="C31" t="s">
        <v>23</v>
      </c>
      <c r="D31" t="s">
        <v>20</v>
      </c>
      <c r="E31" t="s">
        <v>11</v>
      </c>
      <c r="F31">
        <v>2</v>
      </c>
      <c r="G31">
        <v>320</v>
      </c>
      <c r="H31">
        <v>640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FE0DB-9A7B-4F9F-925D-3634945F94AF}">
  <dimension ref="A1:P32"/>
  <sheetViews>
    <sheetView tabSelected="1" workbookViewId="0">
      <selection activeCell="P36" sqref="P36"/>
    </sheetView>
  </sheetViews>
  <sheetFormatPr defaultRowHeight="15"/>
  <cols>
    <col min="1" max="1" width="13.28515625" bestFit="1" customWidth="1"/>
    <col min="4" max="4" width="13.42578125" bestFit="1" customWidth="1"/>
    <col min="5" max="5" width="10.7109375" bestFit="1" customWidth="1"/>
    <col min="7" max="7" width="17" bestFit="1" customWidth="1"/>
    <col min="8" max="8" width="10.5703125" bestFit="1" customWidth="1"/>
    <col min="10" max="10" width="18.85546875" bestFit="1" customWidth="1"/>
    <col min="13" max="13" width="10.85546875" bestFit="1" customWidth="1"/>
    <col min="15" max="15" width="11" bestFit="1" customWidth="1"/>
  </cols>
  <sheetData>
    <row r="1" spans="1:16">
      <c r="A1" s="3" t="s">
        <v>50</v>
      </c>
      <c r="B1">
        <f>SUM(in!H2:H31)</f>
        <v>10760</v>
      </c>
      <c r="D1" s="5" t="s">
        <v>51</v>
      </c>
      <c r="E1" s="6" t="s">
        <v>50</v>
      </c>
      <c r="F1" s="2"/>
      <c r="G1" s="7" t="s">
        <v>52</v>
      </c>
      <c r="H1" s="8" t="s">
        <v>53</v>
      </c>
      <c r="J1" s="9" t="s">
        <v>54</v>
      </c>
      <c r="K1" s="10" t="s">
        <v>53</v>
      </c>
      <c r="O1" s="2" t="s">
        <v>55</v>
      </c>
      <c r="P1" s="2" t="s">
        <v>50</v>
      </c>
    </row>
    <row r="2" spans="1:16">
      <c r="A2" s="4" t="s">
        <v>56</v>
      </c>
      <c r="B2">
        <f>ROUND(AVERAGE(in!H2:H31),2)</f>
        <v>358.67</v>
      </c>
      <c r="D2" t="s">
        <v>11</v>
      </c>
      <c r="E2">
        <f>SUMIF(in!E2:E31,D2,in!H2:H31)</f>
        <v>5460</v>
      </c>
      <c r="G2" t="s">
        <v>10</v>
      </c>
      <c r="H2">
        <f>SUMIF(in!D2:D31,G2,in!H2:H31)</f>
        <v>1600</v>
      </c>
      <c r="J2" t="s">
        <v>9</v>
      </c>
      <c r="K2">
        <f>SUMIF(in!$C$2:C31,J2,in!$H$2:$H$31)</f>
        <v>1000</v>
      </c>
      <c r="O2" s="1">
        <v>46025</v>
      </c>
      <c r="P2">
        <f>SUMIF(in!$A$2:$A$31,O2,in!$H$2:$H$31)</f>
        <v>125</v>
      </c>
    </row>
    <row r="3" spans="1:16">
      <c r="A3" s="4" t="s">
        <v>57</v>
      </c>
      <c r="B3">
        <f>MAX(in!H2:H31)</f>
        <v>1350</v>
      </c>
      <c r="D3" t="s">
        <v>14</v>
      </c>
      <c r="E3">
        <f>SUMIF(in!E3:E32,D3,in!H3:H32)</f>
        <v>2695</v>
      </c>
      <c r="G3" t="s">
        <v>17</v>
      </c>
      <c r="H3">
        <f>SUMIF(in!D3:D32,G3,in!H3:H32)</f>
        <v>5220</v>
      </c>
      <c r="J3" t="s">
        <v>13</v>
      </c>
      <c r="K3">
        <f ca="1">SUMIF(in!$C$2:C32,J3,in!$H$2:$H$31)</f>
        <v>600</v>
      </c>
      <c r="O3" s="1">
        <v>46026</v>
      </c>
      <c r="P3">
        <f>SUMIF(in!$A$2:$A$31,O3,in!$H$2:$H$31)</f>
        <v>120</v>
      </c>
    </row>
    <row r="4" spans="1:16">
      <c r="A4" s="4" t="s">
        <v>58</v>
      </c>
      <c r="B4">
        <f>MIN(in!H2:H31)</f>
        <v>75</v>
      </c>
      <c r="D4" t="s">
        <v>21</v>
      </c>
      <c r="E4">
        <f>SUMIF(in!E4:E33,D4,in!H4:H33)</f>
        <v>2605</v>
      </c>
      <c r="G4" t="s">
        <v>20</v>
      </c>
      <c r="H4">
        <f>SUMIF(in!D4:D33,G4,in!H4:H33)</f>
        <v>3940</v>
      </c>
      <c r="J4" t="s">
        <v>16</v>
      </c>
      <c r="K4">
        <f ca="1">SUMIF(in!$C$2:C33,J4,in!$H$2:$H$31)</f>
        <v>1620</v>
      </c>
      <c r="O4" s="1">
        <v>46027</v>
      </c>
      <c r="P4">
        <f>SUMIF(in!$A$2:$A$31,O4,in!$H$2:$H$31)</f>
        <v>360</v>
      </c>
    </row>
    <row r="5" spans="1:16">
      <c r="A5" s="4" t="s">
        <v>59</v>
      </c>
      <c r="B5">
        <f>SUM(in!F2:F31)</f>
        <v>124</v>
      </c>
      <c r="J5" t="s">
        <v>19</v>
      </c>
      <c r="K5">
        <f ca="1">SUMIF(in!$C$2:C34,J5,in!$H$2:$H$31)</f>
        <v>1700</v>
      </c>
      <c r="O5" s="1">
        <v>46028</v>
      </c>
      <c r="P5">
        <f>SUMIF(in!$A$2:$A$31,O5,in!$H$2:$H$31)</f>
        <v>255</v>
      </c>
    </row>
    <row r="6" spans="1:16">
      <c r="J6" t="s">
        <v>26</v>
      </c>
      <c r="K6">
        <f ca="1">SUMIF(in!$C$2:C35,J6,in!$H$2:$H$31)</f>
        <v>3600</v>
      </c>
      <c r="O6" s="1">
        <v>46029</v>
      </c>
      <c r="P6">
        <f>SUMIF(in!$A$2:$A$31,O6,in!$H$2:$H$31)</f>
        <v>320</v>
      </c>
    </row>
    <row r="7" spans="1:16">
      <c r="J7" t="s">
        <v>23</v>
      </c>
      <c r="K7">
        <f ca="1">SUMIF(in!$C$2:C36,J7,in!$H$2:$H$31)</f>
        <v>2240</v>
      </c>
      <c r="O7" s="1">
        <v>46030</v>
      </c>
      <c r="P7">
        <f>SUMIF(in!$A$2:$A$31,O7,in!$H$2:$H$31)</f>
        <v>250</v>
      </c>
    </row>
    <row r="8" spans="1:16">
      <c r="J8" s="11"/>
      <c r="O8" s="1">
        <v>46032</v>
      </c>
      <c r="P8">
        <f>SUMIF(in!$A$2:$A$31,O8,in!$H$2:$H$31)</f>
        <v>900</v>
      </c>
    </row>
    <row r="9" spans="1:16">
      <c r="J9" s="11"/>
      <c r="O9" s="1">
        <v>46033</v>
      </c>
      <c r="P9">
        <f>SUMIF(in!$A$2:$A$31,O9,in!$H$2:$H$31)</f>
        <v>90</v>
      </c>
    </row>
    <row r="10" spans="1:16">
      <c r="O10" s="1">
        <v>46034</v>
      </c>
      <c r="P10">
        <f>SUMIF(in!$A$2:$A$31,O10,in!$H$2:$H$31)</f>
        <v>340</v>
      </c>
    </row>
    <row r="11" spans="1:16">
      <c r="O11" s="1">
        <v>46036</v>
      </c>
      <c r="P11">
        <f>SUMIF(in!$A$2:$A$31,O11,in!$H$2:$H$31)</f>
        <v>180</v>
      </c>
    </row>
    <row r="12" spans="1:16">
      <c r="O12" s="1">
        <v>46037</v>
      </c>
      <c r="P12">
        <f>SUMIF(in!$A$2:$A$31,O12,in!$H$2:$H$31)</f>
        <v>640</v>
      </c>
    </row>
    <row r="13" spans="1:16">
      <c r="O13" s="1">
        <v>46038</v>
      </c>
      <c r="P13">
        <f>SUMIF(in!$A$2:$A$31,O13,in!$H$2:$H$31)</f>
        <v>175</v>
      </c>
    </row>
    <row r="14" spans="1:16">
      <c r="O14" s="1">
        <v>46040</v>
      </c>
      <c r="P14">
        <f>SUMIF(in!$A$2:$A$31,O14,in!$H$2:$H$31)</f>
        <v>450</v>
      </c>
    </row>
    <row r="15" spans="1:16">
      <c r="O15" s="1">
        <v>46041</v>
      </c>
      <c r="P15">
        <f>SUMIF(in!$A$2:$A$31,O15,in!$H$2:$H$31)</f>
        <v>425</v>
      </c>
    </row>
    <row r="16" spans="1:16">
      <c r="O16" s="1">
        <v>46042</v>
      </c>
      <c r="P16">
        <f>SUMIF(in!$A$2:$A$31,O16,in!$H$2:$H$31)</f>
        <v>135</v>
      </c>
    </row>
    <row r="17" spans="15:16">
      <c r="O17" s="1">
        <v>46044</v>
      </c>
      <c r="P17">
        <f>SUMIF(in!$A$2:$A$31,O17,in!$H$2:$H$31)</f>
        <v>540</v>
      </c>
    </row>
    <row r="18" spans="15:16">
      <c r="O18" s="1">
        <v>46045</v>
      </c>
      <c r="P18">
        <f>SUMIF(in!$A$2:$A$31,O18,in!$H$2:$H$31)</f>
        <v>320</v>
      </c>
    </row>
    <row r="19" spans="15:16">
      <c r="O19" s="1">
        <v>46046</v>
      </c>
      <c r="P19">
        <f>SUMIF(in!$A$2:$A$31,O19,in!$H$2:$H$31)</f>
        <v>100</v>
      </c>
    </row>
    <row r="20" spans="15:16">
      <c r="O20" s="1">
        <v>46047</v>
      </c>
      <c r="P20">
        <f>SUMIF(in!$A$2:$A$31,O20,in!$H$2:$H$31)</f>
        <v>900</v>
      </c>
    </row>
    <row r="21" spans="15:16">
      <c r="O21" s="1">
        <v>46049</v>
      </c>
      <c r="P21">
        <f>SUMIF(in!$A$2:$A$31,O21,in!$H$2:$H$31)</f>
        <v>180</v>
      </c>
    </row>
    <row r="22" spans="15:16">
      <c r="O22" s="1">
        <v>46054</v>
      </c>
      <c r="P22">
        <f>SUMIF(in!$A$2:$A$31,O22,in!$H$2:$H$31)</f>
        <v>170</v>
      </c>
    </row>
    <row r="23" spans="15:16">
      <c r="O23" s="1">
        <v>46056</v>
      </c>
      <c r="P23">
        <f>SUMIF(in!$A$2:$A$31,O23,in!$H$2:$H$31)</f>
        <v>360</v>
      </c>
    </row>
    <row r="24" spans="15:16">
      <c r="O24" s="1">
        <v>46057</v>
      </c>
      <c r="P24">
        <f>SUMIF(in!$A$2:$A$31,O24,in!$H$2:$H$31)</f>
        <v>200</v>
      </c>
    </row>
    <row r="25" spans="15:16">
      <c r="O25" s="1">
        <v>46059</v>
      </c>
      <c r="P25">
        <f>SUMIF(in!$A$2:$A$31,O25,in!$H$2:$H$31)</f>
        <v>320</v>
      </c>
    </row>
    <row r="26" spans="15:16">
      <c r="O26" s="1">
        <v>46061</v>
      </c>
      <c r="P26">
        <f>SUMIF(in!$A$2:$A$31,O26,in!$H$2:$H$31)</f>
        <v>1350</v>
      </c>
    </row>
    <row r="27" spans="15:16">
      <c r="O27" s="1">
        <v>46063</v>
      </c>
      <c r="P27">
        <f>SUMIF(in!$A$2:$A$31,O27,in!$H$2:$H$31)</f>
        <v>75</v>
      </c>
    </row>
    <row r="28" spans="15:16">
      <c r="O28" s="1">
        <v>46065</v>
      </c>
      <c r="P28">
        <f>SUMIF(in!$A$2:$A$31,O28,in!$H$2:$H$31)</f>
        <v>510</v>
      </c>
    </row>
    <row r="29" spans="15:16">
      <c r="O29" s="1">
        <v>46067</v>
      </c>
      <c r="P29">
        <f>SUMIF(in!$A$2:$A$31,O29,in!$H$2:$H$31)</f>
        <v>180</v>
      </c>
    </row>
    <row r="30" spans="15:16">
      <c r="O30" s="1">
        <v>46069</v>
      </c>
      <c r="P30">
        <f>SUMIF(in!$A$2:$A$31,O30,in!$H$2:$H$31)</f>
        <v>150</v>
      </c>
    </row>
    <row r="31" spans="15:16">
      <c r="O31" s="1">
        <v>46071</v>
      </c>
      <c r="P31">
        <f>SUMIF(in!$A$2:$A$31,O31,in!$H$2:$H$31)</f>
        <v>640</v>
      </c>
    </row>
    <row r="32" spans="15:16">
      <c r="P32">
        <f>SUM(P2:P31)</f>
        <v>10760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Phumzile Tjiane</cp:lastModifiedBy>
  <cp:revision/>
  <dcterms:created xsi:type="dcterms:W3CDTF">2026-09-28T19:42:10Z</dcterms:created>
  <dcterms:modified xsi:type="dcterms:W3CDTF">2026-09-29T00:06:45Z</dcterms:modified>
  <cp:category/>
  <cp:contentStatus/>
</cp:coreProperties>
</file>